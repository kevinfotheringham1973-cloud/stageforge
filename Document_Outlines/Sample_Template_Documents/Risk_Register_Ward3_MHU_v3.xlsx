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FOTHERINGH1\Desktop\"/>
    </mc:Choice>
  </mc:AlternateContent>
  <xr:revisionPtr revIDLastSave="0" documentId="13_ncr:1_{4A08F500-1BF1-4D1E-ABEF-4AD4F15E227C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Risk Register" sheetId="1" r:id="rId1"/>
  </sheets>
  <definedNames>
    <definedName name="_xlnm._FilterDatabase" localSheetId="0" hidden="1">'Risk Register'!$A$3:$R$3</definedName>
    <definedName name="_xlnm.Print_Titles" localSheetId="0">'Risk Register'!$1:$3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<sst xmlns="http://schemas.openxmlformats.org/spreadsheetml/2006/main" count="331" uniqueCount="173">
  <si>
    <t>ACTIVE RISK REGISTER — Ward 3 Mental Health Unit Reduced Ligature Refurbishment</t>
  </si>
  <si>
    <t>Project: Stage 3 Refurbishment  |  Client: Serco / NHS  |  Updated: 07 May 2026  |  v2.0 — Patient Risk Assessment integrated  |  Review Frequency: Weekly</t>
  </si>
  <si>
    <t>Risk
ID</t>
  </si>
  <si>
    <t>Element /
Activity</t>
  </si>
  <si>
    <t>Hazard / Risk</t>
  </si>
  <si>
    <t>Persons
at Risk</t>
  </si>
  <si>
    <t>Inherent
Likelihood</t>
  </si>
  <si>
    <t>Inherent
Impact</t>
  </si>
  <si>
    <t>Inherent
Risk</t>
  </si>
  <si>
    <t>Controls</t>
  </si>
  <si>
    <t>Residual
Risk</t>
  </si>
  <si>
    <t>Accountability</t>
  </si>
  <si>
    <t>Risk
Owner</t>
  </si>
  <si>
    <t>Status</t>
  </si>
  <si>
    <t>Date
Raised</t>
  </si>
  <si>
    <t>Last
Review Date</t>
  </si>
  <si>
    <t>Next
Review Date</t>
  </si>
  <si>
    <t>Actions Required</t>
  </si>
  <si>
    <t>Action
Due Date</t>
  </si>
  <si>
    <t>Progress
Notes</t>
  </si>
  <si>
    <t>R-01</t>
  </si>
  <si>
    <t>General Site Presence
in Live MHU</t>
  </si>
  <si>
    <t>Patients accessing tools, materials or unsecured areas</t>
  </si>
  <si>
    <t>Patients, Staff</t>
  </si>
  <si>
    <t>High</t>
  </si>
  <si>
    <t>All rooms locked when contractors not inside; daily tool checklist &amp; sign-out; no tools left unattended; clinical induction on patient behaviours; Pinpoint staff attack alarm issued to every contractor.</t>
  </si>
  <si>
    <t>Low</t>
  </si>
  <si>
    <t>Nurse in Charge (NHS) / MPMH Supervisor</t>
  </si>
  <si>
    <t>OPEN</t>
  </si>
  <si>
    <t>05/04/2026</t>
  </si>
  <si>
    <t>Accountability updated to NHS primary per patient risk assessment review (Apr 2026)</t>
  </si>
  <si>
    <t>R-02</t>
  </si>
  <si>
    <t>Noise disturbing patients (power tools, hammering)</t>
  </si>
  <si>
    <t>Med</t>
  </si>
  <si>
    <t>Battery tools preferred; work only during agreed hours; noise monitoring (≤80 dB); toolbox talks on minimising noise; clinical team briefed on schedule.</t>
  </si>
  <si>
    <t>R-03</t>
  </si>
  <si>
    <t>Door Replacement</t>
  </si>
  <si>
    <t>Unlocked door during replacement allowing patient access to tools</t>
  </si>
  <si>
    <t>Patients</t>
  </si>
  <si>
    <t>One door replaced per day; room locked immediately after new door fitted; tools removed/secured before leaving room; clinical induction + daily checklist.</t>
  </si>
  <si>
    <t>R-04</t>
  </si>
  <si>
    <t>New door monitors (KG500) creating unintended ligature points if not sealed</t>
  </si>
  <si>
    <t>KG500 fitted and tested as part of Kingsway complete system; anti-pick sealant applied; Warringtonfire FoA compliance confirmed.</t>
  </si>
  <si>
    <t>MPMH + Principal Designer</t>
  </si>
  <si>
    <t>R-05</t>
  </si>
  <si>
    <t>Window Replacement</t>
  </si>
  <si>
    <t>Open window opening allowing escape or ligature attempt</t>
  </si>
  <si>
    <t>Windows removed and sealed externally; temporary anti-ligature blanking panel fitted immediately; no internal reveal work required after external sealing; ceiling void wiring done from loft (no room entry needed).</t>
  </si>
  <si>
    <t>R-06</t>
  </si>
  <si>
    <t>Contractors leaving window unsecured while working</t>
  </si>
  <si>
    <t>External sealing protocol strictly followed; daily checklist confirms opening secured; no work left overnight with open aperture.</t>
  </si>
  <si>
    <t>Polar Supervisor</t>
  </si>
  <si>
    <t>R-07</t>
  </si>
  <si>
    <t>Ensuite &amp; Room Refurbishment
(Strip-out)</t>
  </si>
  <si>
    <t>Dust from vinyl removal and IPS panel removal contaminating air</t>
  </si>
  <si>
    <t>HAI-SCRIBE controls (Class II/III); on-tool extraction + FFP3 masks; water suppression instead of dry sweeping; daily deep clean of work area.</t>
  </si>
  <si>
    <t>MPMH</t>
  </si>
  <si>
    <t>R-08</t>
  </si>
  <si>
    <t>Manual handling of heavy debris (old flooring, IPS panels)</t>
  </si>
  <si>
    <t>Contractors</t>
  </si>
  <si>
    <t>Mechanical aids and team lifting; manual handling toolbox talk; reduce load sizes.</t>
  </si>
  <si>
    <t>R-09</t>
  </si>
  <si>
    <t>Ensuite &amp; Room Refurbishment
(Fit-out)</t>
  </si>
  <si>
    <t>Altro Whiterock cladding and Altro Aquarius flooring creating slip/trip hazards during installation</t>
  </si>
  <si>
    <t>Patients, Staff, Contractors</t>
  </si>
  <si>
    <t>Housekeeping maintained; non-slip flooring installed progressively; barriers and signage around wet works.</t>
  </si>
  <si>
    <t>R-10</t>
  </si>
  <si>
    <t>Tool Control &amp; Materials</t>
  </si>
  <si>
    <t>Tools or materials left in room creating ligature or weapon risk</t>
  </si>
  <si>
    <t>Daily tool checklist (sign in/out); tools removed at end of every shift; secure tool bags/lockable chests; no overnight storage in rooms.</t>
  </si>
  <si>
    <t>Nurse in Charge (NHS) / All Contractors</t>
  </si>
  <si>
    <t>R-11</t>
  </si>
  <si>
    <t>Working at Height</t>
  </si>
  <si>
    <t>Falls from steps or hop-ups during cladding/IPS installation</t>
  </si>
  <si>
    <t>Stepladder permit required daily; PASMA-trained operatives; no work below others.</t>
  </si>
  <si>
    <t>R-12</t>
  </si>
  <si>
    <t>Live Services / Electrical</t>
  </si>
  <si>
    <t>Electric shock or gas leak during service isolation</t>
  </si>
  <si>
    <t>Services isolated by authorised persons (Robert Smith / Stephen Donovan); confirmation drawings used; lock-out/tag-out procedures.</t>
  </si>
  <si>
    <t>Serco Electrical AP</t>
  </si>
  <si>
    <t>R-13</t>
  </si>
  <si>
    <t>Waste Management</t>
  </si>
  <si>
    <t>Waste left in room or corridor creating trip or ligature hazard</t>
  </si>
  <si>
    <t>Lockable/lidded skips used; waste removed daily; no accumulation allowed.</t>
  </si>
  <si>
    <t>R-14</t>
  </si>
  <si>
    <t>Patient Behaviour / Security</t>
  </si>
  <si>
    <t>Patient attempts to enter work area or shows distress</t>
  </si>
  <si>
    <t>Stop work immediately; secure area and alert nursing staff; never manage patient behaviour yourself.</t>
  </si>
  <si>
    <t>Nurse in Charge (NHS) / Ward Team</t>
  </si>
  <si>
    <t>R-15</t>
  </si>
  <si>
    <t>Overall Project</t>
  </si>
  <si>
    <t>Cumulative disruption to patients over project duration</t>
  </si>
  <si>
    <t>Maximum 3 rooms worked at a time; weekly ward briefings; clear communication of schedule to ward team.</t>
  </si>
  <si>
    <t>NHS Ward Manager / Serco PM</t>
  </si>
  <si>
    <t>PATIENT-SPECIFIC RISKS  —  Mental Health Assessment (NHS Accountability)</t>
  </si>
  <si>
    <t>R-16</t>
  </si>
  <si>
    <t>Emergency Response
— Pinpoint Alarm</t>
  </si>
  <si>
    <t>Lack of contractor understanding of when/how to activate Pinpoint alarm</t>
  </si>
  <si>
    <t>Patients, Contractors</t>
  </si>
  <si>
    <t>HIGH</t>
  </si>
  <si>
    <t>Pinpoint alarm use covered in induction and reviewed as required throughout works; alarm functionality verified before works commence each day.</t>
  </si>
  <si>
    <t>Nurse in Charge (NHS)</t>
  </si>
  <si>
    <t>Confirm NHS lead named; verify induction covers MH-01 controls</t>
  </si>
  <si>
    <t>Source: MH Patient Risk Assessment v2.0 — MH-01</t>
  </si>
  <si>
    <t>R-17</t>
  </si>
  <si>
    <t>External Fire Doors
Left Open</t>
  </si>
  <si>
    <t>Contractor propping fire doors for access/ventilation — patient absconding or safeguarding breach to FVRH grounds</t>
  </si>
  <si>
    <t>Fire doors never propped; alarms active; staffed access only; time-limited openings agreed with Nurse in Charge only.</t>
  </si>
  <si>
    <t>Nurse in Charge (NHS) / Contractor</t>
  </si>
  <si>
    <t>Confirm NHS lead named; verify induction covers MH-05 controls</t>
  </si>
  <si>
    <t>Source: MH Patient Risk Assessment v2.0 — MH-05</t>
  </si>
  <si>
    <t>R-18</t>
  </si>
  <si>
    <t>Hazardous Substances
(COSHH) — Patient Exposure</t>
  </si>
  <si>
    <t>Unsafe storage/use of adhesives, solvents; vapours causing agitation or misperception in patients with neuropsychiatric conditions; biological hazard (blood/bodily fluids)</t>
  </si>
  <si>
    <t>Locked COSHH storage; minimal quantities on-site; no unlabelled containers; applied only when patients absent from area; immediate removal after task; good ventilation maintained; IPC Nurse notified if exposure suspected.</t>
  </si>
  <si>
    <t>IPC Nurse (NHS) / Nurse in Charge / Contractor</t>
  </si>
  <si>
    <t>Confirm NHS lead named; verify induction covers MH-06 controls</t>
  </si>
  <si>
    <t>Source: MH Patient Risk Assessment v2.0 — MH-06</t>
  </si>
  <si>
    <t>R-19</t>
  </si>
  <si>
    <t>Multiple Contractors
Simultaneously on Ward</t>
  </si>
  <si>
    <t>Noise, congestion, unfamiliar interactions causing patient anxiety, agitation or behavioural escalation</t>
  </si>
  <si>
    <t>Phased works; mental health induction for all contractors; no unsupervised patient interaction; noisy works scheduled for agreed windows; stop-work authority given if distress observed; Nurse in Charge intervenes immediately.</t>
  </si>
  <si>
    <t>Nurse in Charge (NHS) / Serco PM</t>
  </si>
  <si>
    <t>Confirm NHS lead named; verify induction covers MH-07 controls</t>
  </si>
  <si>
    <t>Source: MH Patient Risk Assessment v2.0 — MH-07</t>
  </si>
  <si>
    <t>R-20</t>
  </si>
  <si>
    <t>Contractor Movement
in Incorrect Areas</t>
  </si>
  <si>
    <t>Contractors straying into unauthorised ward areas — unwanted patient interaction causing fright, verbal/physical incident</t>
  </si>
  <si>
    <t>Medium</t>
  </si>
  <si>
    <t>MEDIUM</t>
  </si>
  <si>
    <t>Ward layout covered in induction; all contractors issued Pinpoint alarms; escorted access to new areas; immediate work pause if incident occurs.</t>
  </si>
  <si>
    <t>Confirm NHS lead named; verify induction covers MH-08 controls</t>
  </si>
  <si>
    <t>Source: MH Patient Risk Assessment v2.0 — MH-08</t>
  </si>
  <si>
    <t>R-21</t>
  </si>
  <si>
    <t>Poor Communication
— Contractors &amp; Clinical Staff</t>
  </si>
  <si>
    <t>Insufficient shared awareness of risks; tools/equipment left in corridors; clinical staff unable to react to hazards in time</t>
  </si>
  <si>
    <t>Joint daily briefings between clinical and Serco staff; weekly progress reviews; regular joint walk-round inspections; immediate escalation channel agreed; any communication failure triggers urgent review.</t>
  </si>
  <si>
    <t>NHS Health Staff / Serco PM / Contractor</t>
  </si>
  <si>
    <t>Confirm NHS lead named; verify induction covers MH-09 controls</t>
  </si>
  <si>
    <t>Source: MH Patient Risk Assessment v2.0 — MH-09</t>
  </si>
  <si>
    <t>R-22</t>
  </si>
  <si>
    <t>Access Equipment
— Patient Use (Roof Access)</t>
  </si>
  <si>
    <t>Patient accessing ladders or other access equipment left unattended — potential for fall/serious injury from roof access</t>
  </si>
  <si>
    <t>All access equipment stored correctly; never left unattended; removed and secured immediately after use; Nurse in Charge initiates response immediately if breach detected.</t>
  </si>
  <si>
    <t>Nurse in Charge (NHS) / Serco PM / Contractor</t>
  </si>
  <si>
    <t>Confirm NHS lead named; verify induction covers MH-10 controls</t>
  </si>
  <si>
    <t>Source: MH Patient Risk Assessment v2.0 — MH-10</t>
  </si>
  <si>
    <t>R-23</t>
  </si>
  <si>
    <t>Patient &amp; Staff
Confidentiality</t>
  </si>
  <si>
    <t>Confidentiality obligations covered during induction; no photography or recording permitted on ward; immediate escalation to Nurse in Charge if breach suspected.</t>
  </si>
  <si>
    <t>Confirm NHS lead named; verify induction covers MH-13 controls</t>
  </si>
  <si>
    <t>Source: MH Patient Risk Assessment v2.0 — MH-13</t>
  </si>
  <si>
    <t>R-24</t>
  </si>
  <si>
    <t>Food &amp; Drink Left
Unattended by Contractors</t>
  </si>
  <si>
    <t>Unsecured contractor food/drink consumed by patients who may have diet or fluid restrictions</t>
  </si>
  <si>
    <t>No food/drink held in unsecured patient areas; covered in induction; immediate removal if found; escalated to Nurse in Charge.</t>
  </si>
  <si>
    <t>Confirm NHS lead named; verify induction covers MH-14 controls</t>
  </si>
  <si>
    <t>Source: MH Patient Risk Assessment v2.0 — MH-14</t>
  </si>
  <si>
    <t>RISK MATRIX LEGEND</t>
  </si>
  <si>
    <t>STATUS GUIDE</t>
  </si>
  <si>
    <t>Risk identified; controls in place but being monitored</t>
  </si>
  <si>
    <t>IN PROGRESS</t>
  </si>
  <si>
    <t>Mitigation actions underway</t>
  </si>
  <si>
    <t>LOW</t>
  </si>
  <si>
    <t>MONITORING</t>
  </si>
  <si>
    <t>Residual risk acceptable; under routine review</t>
  </si>
  <si>
    <t>ESCALATED</t>
  </si>
  <si>
    <t>Risk elevated — senior management intervention required</t>
  </si>
  <si>
    <t>CLOSED</t>
  </si>
  <si>
    <t>Risk no longer active</t>
  </si>
  <si>
    <t>Contractors overhearing confidential information; mobile devices inadvertently capturing images of patients or staff, or docuemnts left in room</t>
  </si>
  <si>
    <t>MPMH - Lee Gemmel</t>
  </si>
  <si>
    <t>Polar + MPMH (Lee Gemell and A. sanson)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</si>
</sst>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6747"/>
      <name val="Arial"/>
      <charset val="1"/>
    </font>
    <font>
      <b/>
      <sz val="9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8F5E9"/>
      </patternFill>
    </fill>
    <fill>
      <patternFill patternType="solid">
        <fgColor rgb="FFFF0000"/>
        <bgColor rgb="FF993300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5FBF5"/>
      </patternFill>
    </fill>
    <fill>
      <patternFill patternType="solid">
        <fgColor rgb="FFFFC000"/>
        <bgColor rgb="FFFF9900"/>
      </patternFill>
    </fill>
    <fill>
      <patternFill patternType="solid">
        <fgColor rgb="FF006747"/>
        <bgColor rgb="FF008080"/>
      </patternFill>
    </fill>
    <fill>
      <patternFill patternType="solid">
        <fgColor rgb="FFE8F5E9"/>
        <bgColor rgb="FFEBF3FB"/>
      </patternFill>
    </fill>
    <fill>
      <patternFill patternType="solid">
        <fgColor rgb="FFF5FBF5"/>
        <bgColor rgb="FFFFFFFF"/>
      </patternFill>
    </fill>
    <fill>
      <patternFill patternType="solid">
        <fgColor rgb="FFBFBFBF"/>
        <bgColor rgb="FFBDD7EE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3" fillId="5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747"/>
      <rgbColor rgb="FFBFBFBF"/>
      <rgbColor rgb="FF808080"/>
      <rgbColor rgb="FF9999FF"/>
      <rgbColor rgb="FF993366"/>
      <rgbColor rgb="FFF5FBF5"/>
      <rgbColor rgb="FFE8F5E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zoomScaleNormal="100" workbookViewId="0">
      <pane ySplit="3" topLeftCell="A19" activePane="bottomLeft" state="frozen"/>
      <selection pane="bottomLeft" activeCell="K18" sqref="K18"/>
    </sheetView>
  </sheetViews>
  <sheetFormatPr defaultColWidth="8.6640625" defaultRowHeight="14.4" x14ac:dyDescent="0.3"/>
  <cols>
    <col min="1" max="1" width="8" customWidth="1"/>
    <col min="2" max="2" width="22" customWidth="1"/>
    <col min="3" max="3" width="30" customWidth="1"/>
    <col min="4" max="4" width="14" customWidth="1"/>
    <col min="5" max="7" width="11" customWidth="1"/>
    <col min="8" max="8" width="38" customWidth="1"/>
    <col min="9" max="9" width="10" customWidth="1"/>
    <col min="10" max="10" width="18" customWidth="1"/>
    <col min="11" max="11" width="16" customWidth="1"/>
    <col min="12" max="12" width="12" customWidth="1"/>
    <col min="13" max="13" width="11" customWidth="1"/>
    <col min="14" max="15" width="12" customWidth="1"/>
    <col min="16" max="16" width="30" customWidth="1"/>
    <col min="17" max="17" width="12" customWidth="1"/>
    <col min="18" max="18" width="30" customWidth="1"/>
  </cols>
  <sheetData>
    <row r="1" spans="1:18" ht="27.75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8" customHeight="1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1.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</row>
    <row r="4" spans="1:18" ht="45" customHeight="1" x14ac:dyDescent="0.3">
      <c r="A4" s="6" t="s">
        <v>20</v>
      </c>
      <c r="B4" s="7" t="s">
        <v>21</v>
      </c>
      <c r="C4" s="7" t="s">
        <v>22</v>
      </c>
      <c r="D4" s="6" t="s">
        <v>23</v>
      </c>
      <c r="E4" s="3" t="s">
        <v>24</v>
      </c>
      <c r="F4" s="3" t="s">
        <v>24</v>
      </c>
      <c r="G4" s="3" t="str">
        <f t="shared" ref="G4:G18" si="0">IF(AND(E4="High",F4="High"),"HIGH",IF(OR(E4="High",F4="High"),"MEDIUM","LOW"))</f>
        <v>HIGH</v>
      </c>
      <c r="H4" s="7" t="s">
        <v>25</v>
      </c>
      <c r="I4" s="8" t="s">
        <v>26</v>
      </c>
      <c r="J4" s="9" t="s">
        <v>27</v>
      </c>
      <c r="K4" s="7"/>
      <c r="L4" s="8" t="s">
        <v>28</v>
      </c>
      <c r="M4" s="6" t="s">
        <v>29</v>
      </c>
      <c r="N4" s="6"/>
      <c r="O4" s="6"/>
      <c r="P4" s="7"/>
      <c r="Q4" s="6"/>
      <c r="R4" s="7" t="s">
        <v>30</v>
      </c>
    </row>
    <row r="5" spans="1:18" ht="45" customHeight="1" x14ac:dyDescent="0.3">
      <c r="A5" s="10" t="s">
        <v>31</v>
      </c>
      <c r="B5" s="11" t="s">
        <v>21</v>
      </c>
      <c r="C5" s="11" t="s">
        <v>32</v>
      </c>
      <c r="D5" s="10" t="s">
        <v>23</v>
      </c>
      <c r="E5" s="1" t="s">
        <v>33</v>
      </c>
      <c r="F5" s="3" t="s">
        <v>24</v>
      </c>
      <c r="G5" s="1" t="str">
        <f t="shared" si="0"/>
        <v>MEDIUM</v>
      </c>
      <c r="H5" s="11" t="s">
        <v>34</v>
      </c>
      <c r="I5" s="8" t="s">
        <v>26</v>
      </c>
      <c r="J5" s="7" t="s">
        <v>171</v>
      </c>
      <c r="K5" s="11"/>
      <c r="L5" s="8" t="s">
        <v>28</v>
      </c>
      <c r="M5" s="10" t="s">
        <v>29</v>
      </c>
      <c r="N5" s="10"/>
      <c r="O5" s="10"/>
      <c r="P5" s="11"/>
      <c r="Q5" s="10"/>
      <c r="R5" s="11"/>
    </row>
    <row r="6" spans="1:18" ht="45" customHeight="1" x14ac:dyDescent="0.3">
      <c r="A6" s="6" t="s">
        <v>35</v>
      </c>
      <c r="B6" s="7" t="s">
        <v>36</v>
      </c>
      <c r="C6" s="7" t="s">
        <v>37</v>
      </c>
      <c r="D6" s="6" t="s">
        <v>38</v>
      </c>
      <c r="E6" s="3" t="s">
        <v>24</v>
      </c>
      <c r="F6" s="3" t="s">
        <v>24</v>
      </c>
      <c r="G6" s="3" t="str">
        <f t="shared" si="0"/>
        <v>HIGH</v>
      </c>
      <c r="H6" s="7" t="s">
        <v>39</v>
      </c>
      <c r="I6" s="8" t="s">
        <v>26</v>
      </c>
      <c r="J6" s="7" t="s">
        <v>171</v>
      </c>
      <c r="K6" s="7"/>
      <c r="L6" s="8" t="s">
        <v>28</v>
      </c>
      <c r="M6" s="6" t="s">
        <v>29</v>
      </c>
      <c r="N6" s="6"/>
      <c r="O6" s="6"/>
      <c r="P6" s="7"/>
      <c r="Q6" s="6"/>
      <c r="R6" s="7"/>
    </row>
    <row r="7" spans="1:18" ht="45" customHeight="1" x14ac:dyDescent="0.3">
      <c r="A7" s="10" t="s">
        <v>40</v>
      </c>
      <c r="B7" s="11" t="s">
        <v>36</v>
      </c>
      <c r="C7" s="11" t="s">
        <v>41</v>
      </c>
      <c r="D7" s="10" t="s">
        <v>38</v>
      </c>
      <c r="E7" s="1" t="s">
        <v>33</v>
      </c>
      <c r="F7" s="3" t="s">
        <v>24</v>
      </c>
      <c r="G7" s="1" t="str">
        <f t="shared" si="0"/>
        <v>MEDIUM</v>
      </c>
      <c r="H7" s="11" t="s">
        <v>42</v>
      </c>
      <c r="I7" s="8" t="s">
        <v>26</v>
      </c>
      <c r="J7" s="11" t="s">
        <v>43</v>
      </c>
      <c r="K7" s="11"/>
      <c r="L7" s="8" t="s">
        <v>28</v>
      </c>
      <c r="M7" s="10" t="s">
        <v>29</v>
      </c>
      <c r="N7" s="10"/>
      <c r="O7" s="10"/>
      <c r="P7" s="11"/>
      <c r="Q7" s="10"/>
      <c r="R7" s="11"/>
    </row>
    <row r="8" spans="1:18" ht="45" customHeight="1" x14ac:dyDescent="0.3">
      <c r="A8" s="6" t="s">
        <v>44</v>
      </c>
      <c r="B8" s="7" t="s">
        <v>45</v>
      </c>
      <c r="C8" s="7" t="s">
        <v>46</v>
      </c>
      <c r="D8" s="6" t="s">
        <v>38</v>
      </c>
      <c r="E8" s="3" t="s">
        <v>24</v>
      </c>
      <c r="F8" s="3" t="s">
        <v>24</v>
      </c>
      <c r="G8" s="3" t="str">
        <f t="shared" si="0"/>
        <v>HIGH</v>
      </c>
      <c r="H8" s="7" t="s">
        <v>47</v>
      </c>
      <c r="I8" s="8" t="s">
        <v>26</v>
      </c>
      <c r="J8" s="7" t="s">
        <v>172</v>
      </c>
      <c r="K8" s="7"/>
      <c r="L8" s="8" t="s">
        <v>28</v>
      </c>
      <c r="M8" s="6" t="s">
        <v>29</v>
      </c>
      <c r="N8" s="6"/>
      <c r="O8" s="6"/>
      <c r="P8" s="7"/>
      <c r="Q8" s="6"/>
      <c r="R8" s="7"/>
    </row>
    <row r="9" spans="1:18" ht="45" customHeight="1" x14ac:dyDescent="0.3">
      <c r="A9" s="10" t="s">
        <v>48</v>
      </c>
      <c r="B9" s="11" t="s">
        <v>45</v>
      </c>
      <c r="C9" s="11" t="s">
        <v>49</v>
      </c>
      <c r="D9" s="10" t="s">
        <v>38</v>
      </c>
      <c r="E9" s="3" t="s">
        <v>24</v>
      </c>
      <c r="F9" s="3" t="s">
        <v>24</v>
      </c>
      <c r="G9" s="3" t="str">
        <f t="shared" si="0"/>
        <v>HIGH</v>
      </c>
      <c r="H9" s="11" t="s">
        <v>50</v>
      </c>
      <c r="I9" s="8" t="s">
        <v>26</v>
      </c>
      <c r="J9" s="11" t="s">
        <v>51</v>
      </c>
      <c r="K9" s="11"/>
      <c r="L9" s="8" t="s">
        <v>28</v>
      </c>
      <c r="M9" s="10" t="s">
        <v>29</v>
      </c>
      <c r="N9" s="10"/>
      <c r="O9" s="10"/>
      <c r="P9" s="11"/>
      <c r="Q9" s="10"/>
      <c r="R9" s="11"/>
    </row>
    <row r="10" spans="1:18" ht="45" customHeight="1" x14ac:dyDescent="0.3">
      <c r="A10" s="6" t="s">
        <v>52</v>
      </c>
      <c r="B10" s="7" t="s">
        <v>53</v>
      </c>
      <c r="C10" s="7" t="s">
        <v>54</v>
      </c>
      <c r="D10" s="6" t="s">
        <v>23</v>
      </c>
      <c r="E10" s="3" t="s">
        <v>24</v>
      </c>
      <c r="F10" s="3" t="s">
        <v>24</v>
      </c>
      <c r="G10" s="3" t="str">
        <f t="shared" si="0"/>
        <v>HIGH</v>
      </c>
      <c r="H10" s="7" t="s">
        <v>55</v>
      </c>
      <c r="I10" s="8" t="s">
        <v>26</v>
      </c>
      <c r="J10" s="7" t="s">
        <v>171</v>
      </c>
      <c r="K10" s="7"/>
      <c r="L10" s="8" t="s">
        <v>28</v>
      </c>
      <c r="M10" s="6" t="s">
        <v>29</v>
      </c>
      <c r="N10" s="6"/>
      <c r="O10" s="6"/>
      <c r="P10" s="7"/>
      <c r="Q10" s="6"/>
      <c r="R10" s="7"/>
    </row>
    <row r="11" spans="1:18" ht="45" customHeight="1" x14ac:dyDescent="0.3">
      <c r="A11" s="10" t="s">
        <v>57</v>
      </c>
      <c r="B11" s="11" t="s">
        <v>53</v>
      </c>
      <c r="C11" s="11" t="s">
        <v>58</v>
      </c>
      <c r="D11" s="10" t="s">
        <v>59</v>
      </c>
      <c r="E11" s="3" t="s">
        <v>24</v>
      </c>
      <c r="F11" s="1" t="s">
        <v>33</v>
      </c>
      <c r="G11" s="1" t="str">
        <f t="shared" si="0"/>
        <v>MEDIUM</v>
      </c>
      <c r="H11" s="11" t="s">
        <v>60</v>
      </c>
      <c r="I11" s="8" t="s">
        <v>26</v>
      </c>
      <c r="J11" s="7" t="s">
        <v>171</v>
      </c>
      <c r="K11" s="11"/>
      <c r="L11" s="8" t="s">
        <v>28</v>
      </c>
      <c r="M11" s="10" t="s">
        <v>29</v>
      </c>
      <c r="N11" s="10"/>
      <c r="O11" s="10"/>
      <c r="P11" s="11"/>
      <c r="Q11" s="10"/>
      <c r="R11" s="11"/>
    </row>
    <row r="12" spans="1:18" ht="45" customHeight="1" x14ac:dyDescent="0.3">
      <c r="A12" s="6" t="s">
        <v>61</v>
      </c>
      <c r="B12" s="7" t="s">
        <v>62</v>
      </c>
      <c r="C12" s="7" t="s">
        <v>63</v>
      </c>
      <c r="D12" s="6" t="s">
        <v>64</v>
      </c>
      <c r="E12" s="1" t="s">
        <v>33</v>
      </c>
      <c r="F12" s="1" t="s">
        <v>33</v>
      </c>
      <c r="G12" s="8" t="str">
        <f t="shared" si="0"/>
        <v>LOW</v>
      </c>
      <c r="H12" s="7" t="s">
        <v>65</v>
      </c>
      <c r="I12" s="8" t="s">
        <v>26</v>
      </c>
      <c r="J12" s="7" t="s">
        <v>171</v>
      </c>
      <c r="K12" s="7"/>
      <c r="L12" s="8" t="s">
        <v>28</v>
      </c>
      <c r="M12" s="6" t="s">
        <v>29</v>
      </c>
      <c r="N12" s="6"/>
      <c r="O12" s="6"/>
      <c r="P12" s="7"/>
      <c r="Q12" s="6"/>
      <c r="R12" s="7"/>
    </row>
    <row r="13" spans="1:18" ht="45" customHeight="1" x14ac:dyDescent="0.3">
      <c r="A13" s="10" t="s">
        <v>66</v>
      </c>
      <c r="B13" s="11" t="s">
        <v>67</v>
      </c>
      <c r="C13" s="11" t="s">
        <v>68</v>
      </c>
      <c r="D13" s="10" t="s">
        <v>38</v>
      </c>
      <c r="E13" s="3" t="s">
        <v>24</v>
      </c>
      <c r="F13" s="3" t="s">
        <v>24</v>
      </c>
      <c r="G13" s="3" t="str">
        <f t="shared" si="0"/>
        <v>HIGH</v>
      </c>
      <c r="H13" s="11" t="s">
        <v>69</v>
      </c>
      <c r="I13" s="8" t="s">
        <v>26</v>
      </c>
      <c r="J13" s="12" t="s">
        <v>70</v>
      </c>
      <c r="K13" s="11"/>
      <c r="L13" s="8" t="s">
        <v>28</v>
      </c>
      <c r="M13" s="10" t="s">
        <v>29</v>
      </c>
      <c r="N13" s="10"/>
      <c r="O13" s="10"/>
      <c r="P13" s="11"/>
      <c r="Q13" s="10"/>
      <c r="R13" s="11" t="s">
        <v>30</v>
      </c>
    </row>
    <row r="14" spans="1:18" ht="45" customHeight="1" x14ac:dyDescent="0.3">
      <c r="A14" s="6" t="s">
        <v>71</v>
      </c>
      <c r="B14" s="7" t="s">
        <v>72</v>
      </c>
      <c r="C14" s="7" t="s">
        <v>73</v>
      </c>
      <c r="D14" s="6" t="s">
        <v>59</v>
      </c>
      <c r="E14" s="1" t="s">
        <v>33</v>
      </c>
      <c r="F14" s="3" t="s">
        <v>24</v>
      </c>
      <c r="G14" s="1" t="str">
        <f t="shared" si="0"/>
        <v>MEDIUM</v>
      </c>
      <c r="H14" s="7" t="s">
        <v>74</v>
      </c>
      <c r="I14" s="8" t="s">
        <v>26</v>
      </c>
      <c r="J14" s="7" t="s">
        <v>56</v>
      </c>
      <c r="K14" s="7"/>
      <c r="L14" s="8" t="s">
        <v>28</v>
      </c>
      <c r="M14" s="6" t="s">
        <v>29</v>
      </c>
      <c r="N14" s="6"/>
      <c r="O14" s="6"/>
      <c r="P14" s="7"/>
      <c r="Q14" s="6"/>
      <c r="R14" s="7"/>
    </row>
    <row r="15" spans="1:18" ht="45" customHeight="1" x14ac:dyDescent="0.3">
      <c r="A15" s="10" t="s">
        <v>75</v>
      </c>
      <c r="B15" s="11" t="s">
        <v>76</v>
      </c>
      <c r="C15" s="11" t="s">
        <v>77</v>
      </c>
      <c r="D15" s="10" t="s">
        <v>59</v>
      </c>
      <c r="E15" s="3" t="s">
        <v>24</v>
      </c>
      <c r="F15" s="3" t="s">
        <v>24</v>
      </c>
      <c r="G15" s="3" t="str">
        <f t="shared" si="0"/>
        <v>HIGH</v>
      </c>
      <c r="H15" s="11" t="s">
        <v>78</v>
      </c>
      <c r="I15" s="8" t="s">
        <v>26</v>
      </c>
      <c r="J15" s="11" t="s">
        <v>79</v>
      </c>
      <c r="K15" s="11"/>
      <c r="L15" s="8" t="s">
        <v>28</v>
      </c>
      <c r="M15" s="10" t="s">
        <v>29</v>
      </c>
      <c r="N15" s="10"/>
      <c r="O15" s="10"/>
      <c r="P15" s="11"/>
      <c r="Q15" s="10"/>
      <c r="R15" s="11"/>
    </row>
    <row r="16" spans="1:18" ht="45" customHeight="1" x14ac:dyDescent="0.3">
      <c r="A16" s="6" t="s">
        <v>80</v>
      </c>
      <c r="B16" s="7" t="s">
        <v>81</v>
      </c>
      <c r="C16" s="7" t="s">
        <v>82</v>
      </c>
      <c r="D16" s="6" t="s">
        <v>23</v>
      </c>
      <c r="E16" s="1" t="s">
        <v>33</v>
      </c>
      <c r="F16" s="3" t="s">
        <v>24</v>
      </c>
      <c r="G16" s="1" t="str">
        <f t="shared" si="0"/>
        <v>MEDIUM</v>
      </c>
      <c r="H16" s="7" t="s">
        <v>83</v>
      </c>
      <c r="I16" s="8" t="s">
        <v>26</v>
      </c>
      <c r="J16" s="7" t="s">
        <v>171</v>
      </c>
      <c r="K16" s="7"/>
      <c r="L16" s="8" t="s">
        <v>28</v>
      </c>
      <c r="M16" s="6" t="s">
        <v>29</v>
      </c>
      <c r="N16" s="6"/>
      <c r="O16" s="6"/>
      <c r="P16" s="7"/>
      <c r="Q16" s="6"/>
      <c r="R16" s="7"/>
    </row>
    <row r="17" spans="1:18" ht="45" customHeight="1" x14ac:dyDescent="0.3">
      <c r="A17" s="10" t="s">
        <v>84</v>
      </c>
      <c r="B17" s="11" t="s">
        <v>85</v>
      </c>
      <c r="C17" s="11" t="s">
        <v>86</v>
      </c>
      <c r="D17" s="10" t="s">
        <v>64</v>
      </c>
      <c r="E17" s="3" t="s">
        <v>24</v>
      </c>
      <c r="F17" s="3" t="s">
        <v>24</v>
      </c>
      <c r="G17" s="3" t="str">
        <f t="shared" si="0"/>
        <v>HIGH</v>
      </c>
      <c r="H17" s="11" t="s">
        <v>87</v>
      </c>
      <c r="I17" s="8" t="s">
        <v>26</v>
      </c>
      <c r="J17" s="12" t="s">
        <v>88</v>
      </c>
      <c r="K17" s="11"/>
      <c r="L17" s="8" t="s">
        <v>28</v>
      </c>
      <c r="M17" s="10" t="s">
        <v>29</v>
      </c>
      <c r="N17" s="10"/>
      <c r="O17" s="10"/>
      <c r="P17" s="11"/>
      <c r="Q17" s="10"/>
      <c r="R17" s="11" t="s">
        <v>30</v>
      </c>
    </row>
    <row r="18" spans="1:18" ht="45" customHeight="1" x14ac:dyDescent="0.3">
      <c r="A18" s="6" t="s">
        <v>89</v>
      </c>
      <c r="B18" s="7" t="s">
        <v>90</v>
      </c>
      <c r="C18" s="7" t="s">
        <v>91</v>
      </c>
      <c r="D18" s="6" t="s">
        <v>23</v>
      </c>
      <c r="E18" s="1" t="s">
        <v>33</v>
      </c>
      <c r="F18" s="3" t="s">
        <v>24</v>
      </c>
      <c r="G18" s="1" t="str">
        <f t="shared" si="0"/>
        <v>MEDIUM</v>
      </c>
      <c r="H18" s="7" t="s">
        <v>92</v>
      </c>
      <c r="I18" s="8" t="s">
        <v>26</v>
      </c>
      <c r="J18" s="9" t="s">
        <v>93</v>
      </c>
      <c r="K18" s="7"/>
      <c r="L18" s="8" t="s">
        <v>28</v>
      </c>
      <c r="M18" s="6" t="s">
        <v>29</v>
      </c>
      <c r="N18" s="6"/>
      <c r="O18" s="6"/>
      <c r="P18" s="7"/>
      <c r="Q18" s="6"/>
      <c r="R18" s="7" t="s">
        <v>30</v>
      </c>
    </row>
    <row r="19" spans="1:18" ht="21.75" customHeight="1" x14ac:dyDescent="0.3">
      <c r="A19" s="31" t="s">
        <v>94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  <row r="20" spans="1:18" ht="45" customHeight="1" x14ac:dyDescent="0.3">
      <c r="A20" s="2" t="s">
        <v>95</v>
      </c>
      <c r="B20" s="13" t="s">
        <v>96</v>
      </c>
      <c r="C20" s="13" t="s">
        <v>97</v>
      </c>
      <c r="D20" s="2" t="s">
        <v>98</v>
      </c>
      <c r="E20" s="3" t="s">
        <v>24</v>
      </c>
      <c r="F20" s="3" t="s">
        <v>24</v>
      </c>
      <c r="G20" s="3" t="s">
        <v>99</v>
      </c>
      <c r="H20" s="13" t="s">
        <v>100</v>
      </c>
      <c r="I20" s="8" t="s">
        <v>26</v>
      </c>
      <c r="J20" s="14" t="s">
        <v>101</v>
      </c>
      <c r="K20" s="13"/>
      <c r="L20" s="8" t="s">
        <v>28</v>
      </c>
      <c r="M20" s="2" t="s">
        <v>29</v>
      </c>
      <c r="N20" s="2"/>
      <c r="O20" s="2"/>
      <c r="P20" s="13" t="s">
        <v>102</v>
      </c>
      <c r="Q20" s="2"/>
      <c r="R20" s="13" t="s">
        <v>103</v>
      </c>
    </row>
    <row r="21" spans="1:18" ht="45" customHeight="1" x14ac:dyDescent="0.3">
      <c r="A21" s="28" t="s">
        <v>104</v>
      </c>
      <c r="B21" s="28" t="s">
        <v>105</v>
      </c>
      <c r="C21" s="28" t="s">
        <v>106</v>
      </c>
      <c r="D21" s="4" t="s">
        <v>38</v>
      </c>
      <c r="E21" s="25" t="s">
        <v>24</v>
      </c>
      <c r="F21" s="25" t="s">
        <v>24</v>
      </c>
      <c r="G21" s="25" t="s">
        <v>99</v>
      </c>
      <c r="H21" s="25" t="s">
        <v>107</v>
      </c>
      <c r="I21" s="8" t="s">
        <v>26</v>
      </c>
      <c r="J21" s="15" t="s">
        <v>108</v>
      </c>
      <c r="K21" s="16"/>
      <c r="L21" s="8" t="s">
        <v>28</v>
      </c>
      <c r="M21" s="4" t="s">
        <v>29</v>
      </c>
      <c r="N21" s="4"/>
      <c r="O21" s="4"/>
      <c r="P21" s="16" t="s">
        <v>109</v>
      </c>
      <c r="Q21" s="4"/>
      <c r="R21" s="16" t="s">
        <v>110</v>
      </c>
    </row>
    <row r="22" spans="1:18" ht="45" customHeight="1" x14ac:dyDescent="0.3">
      <c r="A22" s="26" t="s">
        <v>111</v>
      </c>
      <c r="B22" s="26" t="s">
        <v>112</v>
      </c>
      <c r="C22" s="26" t="s">
        <v>113</v>
      </c>
      <c r="D22" s="2" t="s">
        <v>64</v>
      </c>
      <c r="E22" s="25" t="s">
        <v>24</v>
      </c>
      <c r="F22" s="25" t="s">
        <v>24</v>
      </c>
      <c r="G22" s="25" t="s">
        <v>99</v>
      </c>
      <c r="H22" s="25" t="s">
        <v>114</v>
      </c>
      <c r="I22" s="8" t="s">
        <v>26</v>
      </c>
      <c r="J22" s="14" t="s">
        <v>115</v>
      </c>
      <c r="K22" s="13"/>
      <c r="L22" s="8" t="s">
        <v>28</v>
      </c>
      <c r="M22" s="2" t="s">
        <v>29</v>
      </c>
      <c r="N22" s="2"/>
      <c r="O22" s="2"/>
      <c r="P22" s="13" t="s">
        <v>116</v>
      </c>
      <c r="Q22" s="2"/>
      <c r="R22" s="13" t="s">
        <v>117</v>
      </c>
    </row>
    <row r="23" spans="1:18" ht="45" customHeight="1" x14ac:dyDescent="0.3">
      <c r="A23" s="28" t="s">
        <v>118</v>
      </c>
      <c r="B23" s="28" t="s">
        <v>119</v>
      </c>
      <c r="C23" s="28" t="s">
        <v>120</v>
      </c>
      <c r="D23" s="4" t="s">
        <v>23</v>
      </c>
      <c r="E23" s="25" t="s">
        <v>24</v>
      </c>
      <c r="F23" s="25" t="s">
        <v>24</v>
      </c>
      <c r="G23" s="25" t="s">
        <v>99</v>
      </c>
      <c r="H23" s="25" t="s">
        <v>121</v>
      </c>
      <c r="I23" s="8" t="s">
        <v>26</v>
      </c>
      <c r="J23" s="15" t="s">
        <v>122</v>
      </c>
      <c r="K23" s="16"/>
      <c r="L23" s="8" t="s">
        <v>28</v>
      </c>
      <c r="M23" s="4" t="s">
        <v>29</v>
      </c>
      <c r="N23" s="4"/>
      <c r="O23" s="4"/>
      <c r="P23" s="16" t="s">
        <v>123</v>
      </c>
      <c r="Q23" s="4"/>
      <c r="R23" s="16" t="s">
        <v>124</v>
      </c>
    </row>
    <row r="24" spans="1:18" ht="45" customHeight="1" x14ac:dyDescent="0.3">
      <c r="A24" s="26" t="s">
        <v>125</v>
      </c>
      <c r="B24" s="26" t="s">
        <v>126</v>
      </c>
      <c r="C24" s="26" t="s">
        <v>127</v>
      </c>
      <c r="D24" s="2" t="s">
        <v>64</v>
      </c>
      <c r="E24" s="27" t="s">
        <v>128</v>
      </c>
      <c r="F24" s="27" t="s">
        <v>24</v>
      </c>
      <c r="G24" s="27" t="s">
        <v>129</v>
      </c>
      <c r="H24" s="27" t="s">
        <v>130</v>
      </c>
      <c r="I24" s="8" t="s">
        <v>26</v>
      </c>
      <c r="J24" s="14" t="s">
        <v>101</v>
      </c>
      <c r="K24" s="13"/>
      <c r="L24" s="8" t="s">
        <v>28</v>
      </c>
      <c r="M24" s="2" t="s">
        <v>29</v>
      </c>
      <c r="N24" s="2"/>
      <c r="O24" s="2"/>
      <c r="P24" s="13" t="s">
        <v>131</v>
      </c>
      <c r="Q24" s="2"/>
      <c r="R24" s="13" t="s">
        <v>132</v>
      </c>
    </row>
    <row r="25" spans="1:18" ht="45" customHeight="1" x14ac:dyDescent="0.3">
      <c r="A25" s="4" t="s">
        <v>133</v>
      </c>
      <c r="B25" s="16" t="s">
        <v>134</v>
      </c>
      <c r="C25" s="16" t="s">
        <v>135</v>
      </c>
      <c r="D25" s="4" t="s">
        <v>23</v>
      </c>
      <c r="E25" s="25" t="s">
        <v>24</v>
      </c>
      <c r="F25" s="25" t="s">
        <v>24</v>
      </c>
      <c r="G25" s="25" t="s">
        <v>99</v>
      </c>
      <c r="H25" s="25" t="s">
        <v>136</v>
      </c>
      <c r="I25" s="8" t="s">
        <v>26</v>
      </c>
      <c r="J25" s="15" t="s">
        <v>137</v>
      </c>
      <c r="K25" s="16"/>
      <c r="L25" s="8" t="s">
        <v>28</v>
      </c>
      <c r="M25" s="4" t="s">
        <v>29</v>
      </c>
      <c r="N25" s="4"/>
      <c r="O25" s="4"/>
      <c r="P25" s="16" t="s">
        <v>138</v>
      </c>
      <c r="Q25" s="4"/>
      <c r="R25" s="16" t="s">
        <v>139</v>
      </c>
    </row>
    <row r="26" spans="1:18" ht="45" customHeight="1" x14ac:dyDescent="0.3">
      <c r="A26" s="2" t="s">
        <v>140</v>
      </c>
      <c r="B26" s="13" t="s">
        <v>141</v>
      </c>
      <c r="C26" s="13" t="s">
        <v>142</v>
      </c>
      <c r="D26" s="2" t="s">
        <v>38</v>
      </c>
      <c r="E26" s="25" t="s">
        <v>24</v>
      </c>
      <c r="F26" s="25" t="s">
        <v>24</v>
      </c>
      <c r="G26" s="25" t="s">
        <v>99</v>
      </c>
      <c r="H26" s="25" t="s">
        <v>143</v>
      </c>
      <c r="I26" s="8" t="s">
        <v>26</v>
      </c>
      <c r="J26" s="14" t="s">
        <v>144</v>
      </c>
      <c r="K26" s="13"/>
      <c r="L26" s="8" t="s">
        <v>28</v>
      </c>
      <c r="M26" s="2" t="s">
        <v>29</v>
      </c>
      <c r="N26" s="2"/>
      <c r="O26" s="2"/>
      <c r="P26" s="13" t="s">
        <v>145</v>
      </c>
      <c r="Q26" s="2"/>
      <c r="R26" s="13" t="s">
        <v>146</v>
      </c>
    </row>
    <row r="27" spans="1:18" ht="45" customHeight="1" x14ac:dyDescent="0.3">
      <c r="A27" s="4" t="s">
        <v>147</v>
      </c>
      <c r="B27" s="16" t="s">
        <v>148</v>
      </c>
      <c r="C27" s="16" t="s">
        <v>170</v>
      </c>
      <c r="D27" s="4" t="s">
        <v>23</v>
      </c>
      <c r="E27" s="3" t="s">
        <v>24</v>
      </c>
      <c r="F27" s="1" t="s">
        <v>128</v>
      </c>
      <c r="G27" s="1" t="s">
        <v>129</v>
      </c>
      <c r="H27" s="16" t="s">
        <v>149</v>
      </c>
      <c r="I27" s="8" t="s">
        <v>26</v>
      </c>
      <c r="J27" s="15" t="s">
        <v>144</v>
      </c>
      <c r="K27" s="16"/>
      <c r="L27" s="8" t="s">
        <v>28</v>
      </c>
      <c r="M27" s="4" t="s">
        <v>29</v>
      </c>
      <c r="N27" s="4"/>
      <c r="O27" s="4"/>
      <c r="P27" s="16" t="s">
        <v>150</v>
      </c>
      <c r="Q27" s="4"/>
      <c r="R27" s="16" t="s">
        <v>151</v>
      </c>
    </row>
    <row r="28" spans="1:18" ht="45" customHeight="1" x14ac:dyDescent="0.3">
      <c r="A28" s="2" t="s">
        <v>152</v>
      </c>
      <c r="B28" s="13" t="s">
        <v>153</v>
      </c>
      <c r="C28" s="13" t="s">
        <v>154</v>
      </c>
      <c r="D28" s="2" t="s">
        <v>38</v>
      </c>
      <c r="E28" s="1" t="s">
        <v>128</v>
      </c>
      <c r="F28" s="3" t="s">
        <v>24</v>
      </c>
      <c r="G28" s="1" t="s">
        <v>129</v>
      </c>
      <c r="H28" s="13" t="s">
        <v>155</v>
      </c>
      <c r="I28" s="8" t="s">
        <v>26</v>
      </c>
      <c r="J28" s="14" t="s">
        <v>144</v>
      </c>
      <c r="K28" s="13"/>
      <c r="L28" s="8" t="s">
        <v>28</v>
      </c>
      <c r="M28" s="2" t="s">
        <v>29</v>
      </c>
      <c r="N28" s="2"/>
      <c r="O28" s="2"/>
      <c r="P28" s="13" t="s">
        <v>156</v>
      </c>
      <c r="Q28" s="2"/>
      <c r="R28" s="13" t="s">
        <v>157</v>
      </c>
    </row>
    <row r="31" spans="1:18" ht="36" x14ac:dyDescent="0.3">
      <c r="A31" s="17" t="s">
        <v>158</v>
      </c>
      <c r="B31" s="18"/>
      <c r="C31" s="18"/>
      <c r="E31" s="17" t="s">
        <v>159</v>
      </c>
      <c r="F31" s="18"/>
      <c r="G31" s="18"/>
      <c r="H31" s="18"/>
    </row>
    <row r="32" spans="1:18" ht="68.400000000000006" x14ac:dyDescent="0.3">
      <c r="A32" s="19" t="s">
        <v>99</v>
      </c>
      <c r="B32" s="18"/>
      <c r="C32" s="18"/>
      <c r="E32" s="20" t="s">
        <v>28</v>
      </c>
      <c r="F32" s="18"/>
      <c r="G32" s="21" t="s">
        <v>160</v>
      </c>
      <c r="H32" s="18"/>
    </row>
    <row r="33" spans="1:8" ht="34.200000000000003" x14ac:dyDescent="0.3">
      <c r="A33" s="20" t="s">
        <v>129</v>
      </c>
      <c r="B33" s="18"/>
      <c r="C33" s="18"/>
      <c r="E33" s="22" t="s">
        <v>161</v>
      </c>
      <c r="F33" s="18"/>
      <c r="G33" s="21" t="s">
        <v>162</v>
      </c>
      <c r="H33" s="18"/>
    </row>
    <row r="34" spans="1:8" ht="45.6" x14ac:dyDescent="0.3">
      <c r="A34" s="23" t="s">
        <v>163</v>
      </c>
      <c r="B34" s="18"/>
      <c r="C34" s="18"/>
      <c r="E34" s="23" t="s">
        <v>164</v>
      </c>
      <c r="F34" s="18"/>
      <c r="G34" s="21" t="s">
        <v>165</v>
      </c>
      <c r="H34" s="18"/>
    </row>
    <row r="35" spans="1:8" ht="57" x14ac:dyDescent="0.3">
      <c r="E35" s="19" t="s">
        <v>166</v>
      </c>
      <c r="F35" s="18"/>
      <c r="G35" s="21" t="s">
        <v>167</v>
      </c>
      <c r="H35" s="18"/>
    </row>
    <row r="36" spans="1:8" ht="22.8" x14ac:dyDescent="0.3">
      <c r="E36" s="24" t="s">
        <v>168</v>
      </c>
      <c r="F36" s="18"/>
      <c r="G36" s="21" t="s">
        <v>169</v>
      </c>
      <c r="H36" s="18"/>
    </row>
  </sheetData>
  <autoFilter ref="A3:R3" xr:uid="{00000000-0001-0000-0000-000000000000}"/>
  <mergeCells count="18">
    <mergeCell ref="A1:R1"/>
    <mergeCell ref="A2:R2"/>
    <mergeCell ref="A19:R19"/>
    <mergeCell ref="A21:C21"/>
    <mergeCell ref="E21:H21"/>
    <mergeCell ref="A22:C22"/>
    <mergeCell ref="E22:F22"/>
    <mergeCell ref="G22:H22"/>
    <mergeCell ref="A23:C23"/>
    <mergeCell ref="E23:F23"/>
    <mergeCell ref="G23:H23"/>
    <mergeCell ref="E26:F26"/>
    <mergeCell ref="G26:H26"/>
    <mergeCell ref="A24:C24"/>
    <mergeCell ref="E24:F24"/>
    <mergeCell ref="G24:H24"/>
    <mergeCell ref="E25:F25"/>
    <mergeCell ref="G25:H25"/>
  </mergeCells>
  <dataValidations count="2">
    <dataValidation type="list" sqref="L4:L28" xr:uid="{00000000-0002-0000-0000-000000000000}">
      <formula1>"OPEN,IN PROGRESS,CLOSED,ESCALATED,MONITORING"</formula1>
      <formula2>0</formula2>
    </dataValidation>
    <dataValidation type="list" sqref="E4:F28" xr:uid="{00000000-0002-0000-0000-000001000000}">
      <formula1>"High,Med,Low"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headerFooter>
    <oddHeader>&amp;C&amp;"Aptos"&amp;10&amp;K737373 Serco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Register</vt:lpstr>
      <vt:lpstr>'Risk Register'!Print_Titles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Fotheringham, Kevin</cp:lastModifiedBy>
  <cp:revision>0</cp:revision>
  <dcterms:created xsi:type="dcterms:W3CDTF">2026-05-07T09:27:43Z</dcterms:created>
  <dcterms:modified xsi:type="dcterms:W3CDTF">2026-05-07T10:08:35Z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2026-05-07T09:40:22Z</vt:lpwstr>
  </property>
  <property fmtid="{D5CDD505-2E9C-101B-9397-08002B2CF9AE}" pid="4" name="MSIP_Label_d6fb369a-307f-449b-a188-56348c6f1760_Method">
    <vt:lpwstr>Standard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114a2b08-379a-4801-b048-6c52f19b2ec1</vt:lpwstr>
  </property>
  <property fmtid="{D5CDD505-2E9C-101B-9397-08002B2CF9AE}" pid="8" name="MSIP_Label_d6fb369a-307f-449b-a188-56348c6f1760_ContentBits">
    <vt:lpwstr>1</vt:lpwstr>
  </property>
  <property fmtid="{D5CDD505-2E9C-101B-9397-08002B2CF9AE}" pid="9" name="MSIP_Label_d6fb369a-307f-449b-a188-56348c6f1760_Tag">
    <vt:lpwstr>10, 3, 0, 1</vt:lpwstr>
  </property>
</Properties>
</file>